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cademic\MSc Denmark\Spring 1\02806-Social Data Analysis\Final project\final project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F3" i="1" l="1"/>
  <c r="F4" i="1"/>
  <c r="F5" i="1"/>
  <c r="F6" i="1"/>
  <c r="F7" i="1"/>
  <c r="F8" i="1"/>
  <c r="F9" i="1"/>
  <c r="F10" i="1"/>
  <c r="F2" i="1"/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<sst xmlns="http://schemas.openxmlformats.org/spreadsheetml/2006/main" count="16" uniqueCount="16">
  <si>
    <t>Population</t>
  </si>
  <si>
    <t>Copenhagen</t>
  </si>
  <si>
    <t>Frederiksberg</t>
  </si>
  <si>
    <t>Dragør</t>
  </si>
  <si>
    <t>Gentofte</t>
  </si>
  <si>
    <t>Lyngby-Taarbæk</t>
  </si>
  <si>
    <t>Vallensbæk</t>
  </si>
  <si>
    <t>Helsingør</t>
  </si>
  <si>
    <t>Hillerød</t>
  </si>
  <si>
    <t>Bornholm</t>
  </si>
  <si>
    <t>Area (km^2)</t>
  </si>
  <si>
    <t>Per Capita toilets</t>
  </si>
  <si>
    <t>Per square km toilets</t>
  </si>
  <si>
    <t>Municipality</t>
  </si>
  <si>
    <t>Population density/(km^2)</t>
  </si>
  <si>
    <t>Total number of toilets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</si>
</sst>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right"/>
    </xf>
    <xf numFmtId="2" fontId="0" fillId="0" borderId="1" xfId="0" applyNumberFormat="1" applyBorder="1"/>
    <xf numFmtId="0" fontId="0" fillId="0" borderId="1" xfId="0" applyFill="1" applyBorder="1"/>
    <xf numFmtId="1" fontId="0" fillId="0" borderId="1" xfId="0" applyNumberFormat="1" applyBorder="1"/>
    <xf numFmtId="164" fontId="0" fillId="0" borderId="1" xfId="1" applyNumberFormat="1" applyFont="1" applyBorder="1"/>
    <xf numFmtId="43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1" sqref="B11"/>
    </sheetView>
  </sheetViews>
  <sheetFormatPr defaultRowHeight="15" x14ac:dyDescent="0.25"/>
  <cols>
    <col min="1" max="1" width="13.625" customWidth="1"/>
    <col min="2" max="2" width="16" customWidth="1"/>
    <col min="3" max="3" width="14.375" customWidth="1"/>
    <col min="4" max="4" width="21.75" customWidth="1"/>
    <col min="5" max="5" width="17.25" customWidth="1"/>
    <col min="6" max="6" width="13.875" customWidth="1"/>
    <col min="7" max="7" width="17.125" customWidth="1"/>
  </cols>
  <sheetData>
    <row r="1" spans="1:7" x14ac:dyDescent="0.25">
      <c r="A1" s="1" t="s">
        <v>13</v>
      </c>
      <c r="B1" s="1" t="s">
        <v>0</v>
      </c>
      <c r="C1" s="1" t="s">
        <v>10</v>
      </c>
      <c r="D1" s="1" t="s">
        <v>14</v>
      </c>
      <c r="E1" s="5" t="s">
        <v>15</v>
      </c>
      <c r="F1" s="5" t="s">
        <v>11</v>
      </c>
      <c r="G1" s="5" t="s">
        <v>12</v>
      </c>
    </row>
    <row r="2" spans="1:7" x14ac:dyDescent="0.25">
      <c r="A2" s="2" t="s">
        <v>1</v>
      </c>
      <c r="B2" s="3">
        <v>671714</v>
      </c>
      <c r="C2" s="3">
        <v>90.9</v>
      </c>
      <c r="D2" s="4">
        <f>B2/C2</f>
        <v>7389.5929592959292</v>
      </c>
      <c r="E2" s="1">
        <v>406</v>
      </c>
      <c r="F2" s="7">
        <f>(E2/B2)*100</f>
        <v>6.0442390660310791E-2</v>
      </c>
      <c r="G2" s="6">
        <f>E2/C2</f>
        <v>4.4664466446644662</v>
      </c>
    </row>
    <row r="3" spans="1:7" x14ac:dyDescent="0.25">
      <c r="A3" s="2" t="s">
        <v>2</v>
      </c>
      <c r="B3" s="3">
        <v>106150</v>
      </c>
      <c r="C3" s="3">
        <v>8.6999999999999993</v>
      </c>
      <c r="D3" s="4">
        <f t="shared" ref="D3:D10" si="0">B3/C3</f>
        <v>12201.149425287358</v>
      </c>
      <c r="E3" s="1">
        <v>27</v>
      </c>
      <c r="F3" s="7">
        <f t="shared" ref="F3:F10" si="1">(E3/B3)*100</f>
        <v>2.5435704192180879E-2</v>
      </c>
      <c r="G3" s="6">
        <f t="shared" ref="G3:G10" si="2">E3/C3</f>
        <v>3.1034482758620694</v>
      </c>
    </row>
    <row r="4" spans="1:7" x14ac:dyDescent="0.25">
      <c r="A4" s="2" t="s">
        <v>3</v>
      </c>
      <c r="B4" s="3">
        <v>14474</v>
      </c>
      <c r="C4" s="3">
        <v>18.3</v>
      </c>
      <c r="D4" s="4">
        <f t="shared" si="0"/>
        <v>790.92896174863381</v>
      </c>
      <c r="E4" s="1">
        <v>10</v>
      </c>
      <c r="F4" s="7">
        <f t="shared" si="1"/>
        <v>6.9089401685781399E-2</v>
      </c>
      <c r="G4" s="6">
        <f t="shared" si="2"/>
        <v>0.54644808743169393</v>
      </c>
    </row>
    <row r="5" spans="1:7" x14ac:dyDescent="0.25">
      <c r="A5" s="2" t="s">
        <v>4</v>
      </c>
      <c r="B5" s="3">
        <v>75106</v>
      </c>
      <c r="C5" s="3">
        <v>25.6</v>
      </c>
      <c r="D5" s="4">
        <f t="shared" si="0"/>
        <v>2933.828125</v>
      </c>
      <c r="E5" s="1">
        <v>25</v>
      </c>
      <c r="F5" s="7">
        <f t="shared" si="1"/>
        <v>3.3286288711953771E-2</v>
      </c>
      <c r="G5" s="6">
        <f t="shared" si="2"/>
        <v>0.9765625</v>
      </c>
    </row>
    <row r="6" spans="1:7" x14ac:dyDescent="0.25">
      <c r="A6" s="2" t="s">
        <v>5</v>
      </c>
      <c r="B6" s="3">
        <v>58614</v>
      </c>
      <c r="C6" s="3">
        <v>38.799999999999997</v>
      </c>
      <c r="D6" s="4">
        <f t="shared" si="0"/>
        <v>1510.6701030927836</v>
      </c>
      <c r="E6" s="1">
        <v>19</v>
      </c>
      <c r="F6" s="7">
        <f t="shared" si="1"/>
        <v>3.2415463882348929E-2</v>
      </c>
      <c r="G6" s="6">
        <f t="shared" si="2"/>
        <v>0.48969072164948457</v>
      </c>
    </row>
    <row r="7" spans="1:7" x14ac:dyDescent="0.25">
      <c r="A7" s="2" t="s">
        <v>6</v>
      </c>
      <c r="B7" s="3">
        <v>18689</v>
      </c>
      <c r="C7" s="3">
        <v>9.5</v>
      </c>
      <c r="D7" s="4">
        <f t="shared" si="0"/>
        <v>1967.2631578947369</v>
      </c>
      <c r="E7" s="1">
        <v>11</v>
      </c>
      <c r="F7" s="7">
        <f t="shared" si="1"/>
        <v>5.885815185403178E-2</v>
      </c>
      <c r="G7" s="6">
        <f t="shared" si="2"/>
        <v>1.1578947368421053</v>
      </c>
    </row>
    <row r="8" spans="1:7" x14ac:dyDescent="0.25">
      <c r="A8" s="2" t="s">
        <v>7</v>
      </c>
      <c r="B8" s="3">
        <v>64244</v>
      </c>
      <c r="C8" s="3">
        <v>118.9</v>
      </c>
      <c r="D8" s="4">
        <f t="shared" si="0"/>
        <v>540.31959629941127</v>
      </c>
      <c r="E8" s="1">
        <v>12</v>
      </c>
      <c r="F8" s="7">
        <f t="shared" si="1"/>
        <v>1.8678787124089411E-2</v>
      </c>
      <c r="G8" s="6">
        <f t="shared" si="2"/>
        <v>0.10092514718250631</v>
      </c>
    </row>
    <row r="9" spans="1:7" x14ac:dyDescent="0.25">
      <c r="A9" s="2" t="s">
        <v>8</v>
      </c>
      <c r="B9" s="3">
        <v>55182</v>
      </c>
      <c r="C9" s="3">
        <v>213.5</v>
      </c>
      <c r="D9" s="4">
        <f t="shared" si="0"/>
        <v>258.46370023419206</v>
      </c>
      <c r="E9" s="1">
        <v>9</v>
      </c>
      <c r="F9" s="7">
        <f t="shared" si="1"/>
        <v>1.6309666195498531E-2</v>
      </c>
      <c r="G9" s="6">
        <f t="shared" si="2"/>
        <v>4.2154566744730677E-2</v>
      </c>
    </row>
    <row r="10" spans="1:7" x14ac:dyDescent="0.25">
      <c r="A10" s="2" t="s">
        <v>9</v>
      </c>
      <c r="B10" s="3">
        <v>38677</v>
      </c>
      <c r="C10" s="3">
        <v>588.6</v>
      </c>
      <c r="D10" s="4">
        <f t="shared" si="0"/>
        <v>65.710159700985386</v>
      </c>
      <c r="E10" s="1">
        <v>101</v>
      </c>
      <c r="F10" s="7">
        <f t="shared" si="1"/>
        <v>0.26113710991028261</v>
      </c>
      <c r="G10" s="6">
        <f t="shared" si="2"/>
        <v>0.17159361196058442</v>
      </c>
    </row>
    <row r="11" spans="1:7" x14ac:dyDescent="0.25">
      <c r="B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2026-05-07T15:12:21Z</dcterms:created>
  <dcterms:modified xsi:type="dcterms:W3CDTF">2026-05-10T08:19:25Z</dcterms:modified>
</cp:coreProperties>
</file>